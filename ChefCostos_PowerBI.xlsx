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es" sheetId="1" state="visible" r:id="rId1"/>
    <sheet xmlns:r="http://schemas.openxmlformats.org/officeDocument/2006/relationships" name="Platos_Costos" sheetId="2" state="visible" r:id="rId2"/>
    <sheet xmlns:r="http://schemas.openxmlformats.org/officeDocument/2006/relationships" name="Recetas" sheetId="3" state="visible" r:id="rId3"/>
    <sheet xmlns:r="http://schemas.openxmlformats.org/officeDocument/2006/relationships" name="Alertas_Inflacion" sheetId="4" state="visible" r:id="rId4"/>
    <sheet xmlns:r="http://schemas.openxmlformats.org/officeDocument/2006/relationships" name="Guia_Power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0&quot;%&quot;"/>
    <numFmt numFmtId="166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FF2ECC8F"/>
      <sz val="13"/>
    </font>
    <font>
      <name val="Arial"/>
      <b val="1"/>
      <color rgb="FFE8EAF0"/>
      <sz val="10"/>
    </font>
    <font>
      <name val="Arial"/>
      <color rgb="FF000000"/>
      <sz val="10"/>
    </font>
    <font>
      <name val="Arial"/>
      <color rgb="FF555555"/>
      <sz val="10"/>
    </font>
    <font>
      <name val="Arial"/>
      <color rgb="FF2ECC8F"/>
      <sz val="10"/>
    </font>
    <font>
      <name val="Arial"/>
      <color rgb="FFF0A500"/>
      <sz val="10"/>
    </font>
    <font>
      <name val="Arial"/>
      <color rgb="FFFF4D6A"/>
      <sz val="10"/>
    </font>
    <font>
      <name val="Arial"/>
      <b val="1"/>
      <color rgb="FFF0A500"/>
      <sz val="13"/>
    </font>
    <font>
      <name val="Arial"/>
      <color rgb="FF1AC9B2"/>
      <sz val="10"/>
    </font>
    <font>
      <name val="Arial"/>
      <b val="1"/>
      <color rgb="FF000000"/>
      <sz val="10"/>
    </font>
    <font>
      <name val="Arial"/>
      <b val="1"/>
      <color rgb="FFF0A500"/>
      <sz val="10"/>
    </font>
    <font>
      <name val="Arial"/>
      <b val="1"/>
      <color rgb="FF2ECC8F"/>
      <sz val="10"/>
    </font>
    <font>
      <name val="Arial"/>
      <b val="1"/>
      <color rgb="FF1AC9B2"/>
      <sz val="13"/>
    </font>
    <font>
      <name val="Arial"/>
      <b val="1"/>
      <color rgb="FFFF4D6A"/>
      <sz val="13"/>
    </font>
    <font>
      <name val="Arial"/>
      <b val="1"/>
      <color rgb="FFFF4D6A"/>
      <sz val="10"/>
    </font>
    <font>
      <name val="Arial"/>
      <color rgb="FF777777"/>
      <sz val="10"/>
    </font>
    <font>
      <name val="Arial"/>
      <b val="1"/>
      <color rgb="FF4F7CFF"/>
      <sz val="13"/>
    </font>
    <font>
      <name val="Arial"/>
      <b val="1"/>
      <color rgb="FF4F7CFF"/>
      <sz val="10"/>
    </font>
  </fonts>
  <fills count="6">
    <fill>
      <patternFill/>
    </fill>
    <fill>
      <patternFill patternType="gray125"/>
    </fill>
    <fill>
      <patternFill patternType="solid">
        <fgColor rgb="FF0F1117"/>
      </patternFill>
    </fill>
    <fill>
      <patternFill patternType="solid">
        <fgColor rgb="FF161820"/>
      </patternFill>
    </fill>
    <fill>
      <patternFill patternType="solid">
        <fgColor rgb="FFFFFFFF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 wrapText="1"/>
    </xf>
    <xf numFmtId="165" fontId="15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16" fillId="4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Inflación por Ingrediente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'Ingredientes'!F2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'Ingredientes'!$B$3:$B$14</f>
            </numRef>
          </cat>
          <val>
            <numRef>
              <f>'Ingredientes'!$F$3:$F$14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vs Precio de Venta por Plato (COP)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'Platos_Costos'!D2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'Platos_Costos'!$B$3:$B$6</f>
            </numRef>
          </cat>
          <val>
            <numRef>
              <f>'Platos_Costos'!$D$3:$D$6</f>
            </numRef>
          </val>
        </ser>
        <ser>
          <idx val="1"/>
          <order val="1"/>
          <tx>
            <strRef>
              <f>'Platos_Costos'!E2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'Platos_Costos'!$B$3:$B$6</f>
            </numRef>
          </cat>
          <val>
            <numRef>
              <f>'Platos_Costos'!$E$3:$E$6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Total por Categoría de Plato</a:t>
            </a:r>
          </a:p>
        </rich>
      </tx>
    </title>
    <plotArea>
      <pieChart>
        <varyColors val="1"/>
        <ser>
          <idx val="0"/>
          <order val="0"/>
          <tx>
            <strRef>
              <f>'Recetas'!B21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'Recetas'!$A$22:$A$23</f>
            </numRef>
          </cat>
          <val>
            <numRef>
              <f>'Recetas'!$B$22:$B$23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Histórico vs Mercado — Ingredientes con Alerta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'Alertas_Inflacion'!D2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'Alertas_Inflacion'!$B$3:$B$12</f>
            </numRef>
          </cat>
          <val>
            <numRef>
              <f>'Alertas_Inflacion'!$D$3:$D$12</f>
            </numRef>
          </val>
        </ser>
        <ser>
          <idx val="1"/>
          <order val="1"/>
          <tx>
            <strRef>
              <f>'Alertas_Inflacion'!E2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'Alertas_Inflacion'!$B$3:$B$12</f>
            </numRef>
          </cat>
          <val>
            <numRef>
              <f>'Alertas_Inflacion'!$E$3:$E$12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CHEF-COSTOS — Ingredientes y Control de Inflación</t>
        </is>
      </c>
    </row>
    <row r="2" ht="18" customHeight="1">
      <c r="A2" s="2" t="inlineStr">
        <is>
          <t>ID</t>
        </is>
      </c>
      <c r="B2" s="2" t="inlineStr">
        <is>
          <t>Nombre</t>
        </is>
      </c>
      <c r="C2" s="2" t="inlineStr">
        <is>
          <t>Unidad</t>
        </is>
      </c>
      <c r="D2" s="2" t="inlineStr">
        <is>
          <t>Precio Histórico</t>
        </is>
      </c>
      <c r="E2" s="2" t="inlineStr">
        <is>
          <t>Precio Mercado</t>
        </is>
      </c>
      <c r="F2" s="2" t="inlineStr">
        <is>
          <t>Inflación %</t>
        </is>
      </c>
      <c r="G2" s="2" t="inlineStr">
        <is>
          <t>Alerta</t>
        </is>
      </c>
    </row>
    <row r="3">
      <c r="A3" s="3" t="n">
        <v>6</v>
      </c>
      <c r="B3" s="4" t="inlineStr">
        <is>
          <t>Aceite</t>
        </is>
      </c>
      <c r="C3" s="5" t="inlineStr">
        <is>
          <t>lt</t>
        </is>
      </c>
      <c r="D3" s="6" t="n">
        <v>7000</v>
      </c>
      <c r="E3" s="7" t="n">
        <v>9500</v>
      </c>
      <c r="F3" s="8" t="n">
        <v>35.71428571428572</v>
      </c>
      <c r="G3" s="9" t="inlineStr">
        <is>
          <t>⚠ ALERTA</t>
        </is>
      </c>
    </row>
    <row r="4">
      <c r="A4" s="10" t="n">
        <v>2</v>
      </c>
      <c r="B4" s="11" t="inlineStr">
        <is>
          <t>Arroz</t>
        </is>
      </c>
      <c r="C4" s="12" t="inlineStr">
        <is>
          <t>kg</t>
        </is>
      </c>
      <c r="D4" s="13" t="n">
        <v>2200</v>
      </c>
      <c r="E4" s="14" t="n">
        <v>2800</v>
      </c>
      <c r="F4" s="15" t="n">
        <v>27.27272727272727</v>
      </c>
      <c r="G4" s="16" t="inlineStr">
        <is>
          <t>⚠ ALERTA</t>
        </is>
      </c>
    </row>
    <row r="5">
      <c r="A5" s="3" t="n">
        <v>9</v>
      </c>
      <c r="B5" s="4" t="inlineStr">
        <is>
          <t>Carne de res</t>
        </is>
      </c>
      <c r="C5" s="5" t="inlineStr">
        <is>
          <t>kg</t>
        </is>
      </c>
      <c r="D5" s="6" t="n">
        <v>22000</v>
      </c>
      <c r="E5" s="7" t="n">
        <v>28500</v>
      </c>
      <c r="F5" s="8" t="n">
        <v>29.54545454545455</v>
      </c>
      <c r="G5" s="9" t="inlineStr">
        <is>
          <t>⚠ ALERTA</t>
        </is>
      </c>
    </row>
    <row r="6">
      <c r="A6" s="10" t="n">
        <v>4</v>
      </c>
      <c r="B6" s="11" t="inlineStr">
        <is>
          <t>Cebolla</t>
        </is>
      </c>
      <c r="C6" s="12" t="inlineStr">
        <is>
          <t>kg</t>
        </is>
      </c>
      <c r="D6" s="13" t="n">
        <v>1500</v>
      </c>
      <c r="E6" s="14" t="n">
        <v>2100</v>
      </c>
      <c r="F6" s="15" t="n">
        <v>40</v>
      </c>
      <c r="G6" s="16" t="inlineStr">
        <is>
          <t>⚠ ALERTA</t>
        </is>
      </c>
    </row>
    <row r="7">
      <c r="A7" s="3" t="n">
        <v>8</v>
      </c>
      <c r="B7" s="4" t="inlineStr">
        <is>
          <t>Cilantro</t>
        </is>
      </c>
      <c r="C7" s="5" t="inlineStr">
        <is>
          <t>kg</t>
        </is>
      </c>
      <c r="D7" s="6" t="n">
        <v>3000</v>
      </c>
      <c r="E7" s="7" t="n">
        <v>4500</v>
      </c>
      <c r="F7" s="8" t="n">
        <v>50</v>
      </c>
      <c r="G7" s="9" t="inlineStr">
        <is>
          <t>⚠ ALERTA</t>
        </is>
      </c>
    </row>
    <row r="8">
      <c r="A8" s="10" t="n">
        <v>11</v>
      </c>
      <c r="B8" s="11" t="inlineStr">
        <is>
          <t>Leche</t>
        </is>
      </c>
      <c r="C8" s="12" t="inlineStr">
        <is>
          <t>lt</t>
        </is>
      </c>
      <c r="D8" s="13" t="n">
        <v>2500</v>
      </c>
      <c r="E8" s="14" t="n">
        <v>3100</v>
      </c>
      <c r="F8" s="15" t="n">
        <v>24</v>
      </c>
      <c r="G8" s="16" t="inlineStr">
        <is>
          <t>⚠ ALERTA</t>
        </is>
      </c>
    </row>
    <row r="9">
      <c r="A9" s="3" t="n">
        <v>10</v>
      </c>
      <c r="B9" s="4" t="inlineStr">
        <is>
          <t>Lomo de cerdo</t>
        </is>
      </c>
      <c r="C9" s="5" t="inlineStr">
        <is>
          <t>kg</t>
        </is>
      </c>
      <c r="D9" s="6" t="n">
        <v>15000</v>
      </c>
      <c r="E9" s="7" t="n">
        <v>19800</v>
      </c>
      <c r="F9" s="8" t="n">
        <v>32</v>
      </c>
      <c r="G9" s="9" t="inlineStr">
        <is>
          <t>⚠ ALERTA</t>
        </is>
      </c>
    </row>
    <row r="10">
      <c r="A10" s="10" t="n">
        <v>3</v>
      </c>
      <c r="B10" s="11" t="inlineStr">
        <is>
          <t>Papa</t>
        </is>
      </c>
      <c r="C10" s="12" t="inlineStr">
        <is>
          <t>kg</t>
        </is>
      </c>
      <c r="D10" s="13" t="n">
        <v>1800</v>
      </c>
      <c r="E10" s="14" t="n">
        <v>2600</v>
      </c>
      <c r="F10" s="15" t="n">
        <v>44.44444444444444</v>
      </c>
      <c r="G10" s="16" t="inlineStr">
        <is>
          <t>⚠ ALERTA</t>
        </is>
      </c>
    </row>
    <row r="11">
      <c r="A11" s="3" t="n">
        <v>1</v>
      </c>
      <c r="B11" s="4" t="inlineStr">
        <is>
          <t>Pollo</t>
        </is>
      </c>
      <c r="C11" s="5" t="inlineStr">
        <is>
          <t>kg</t>
        </is>
      </c>
      <c r="D11" s="6" t="n">
        <v>8500</v>
      </c>
      <c r="E11" s="7" t="n">
        <v>10200</v>
      </c>
      <c r="F11" s="17" t="n">
        <v>20</v>
      </c>
      <c r="G11" s="18" t="inlineStr">
        <is>
          <t>✅ Normal</t>
        </is>
      </c>
    </row>
    <row r="12">
      <c r="A12" s="10" t="n">
        <v>12</v>
      </c>
      <c r="B12" s="11" t="inlineStr">
        <is>
          <t>Queso</t>
        </is>
      </c>
      <c r="C12" s="12" t="inlineStr">
        <is>
          <t>kg</t>
        </is>
      </c>
      <c r="D12" s="13" t="n">
        <v>18000</v>
      </c>
      <c r="E12" s="14" t="n">
        <v>24000</v>
      </c>
      <c r="F12" s="15" t="n">
        <v>33.33333333333333</v>
      </c>
      <c r="G12" s="16" t="inlineStr">
        <is>
          <t>⚠ ALERTA</t>
        </is>
      </c>
    </row>
    <row r="13">
      <c r="A13" s="3" t="n">
        <v>7</v>
      </c>
      <c r="B13" s="4" t="inlineStr">
        <is>
          <t>Sal</t>
        </is>
      </c>
      <c r="C13" s="5" t="inlineStr">
        <is>
          <t>kg</t>
        </is>
      </c>
      <c r="D13" s="6" t="n">
        <v>800</v>
      </c>
      <c r="E13" s="7" t="n">
        <v>950</v>
      </c>
      <c r="F13" s="17" t="n">
        <v>18.75</v>
      </c>
      <c r="G13" s="18" t="inlineStr">
        <is>
          <t>✅ Normal</t>
        </is>
      </c>
    </row>
    <row r="14">
      <c r="A14" s="10" t="n">
        <v>5</v>
      </c>
      <c r="B14" s="11" t="inlineStr">
        <is>
          <t>Tomate</t>
        </is>
      </c>
      <c r="C14" s="12" t="inlineStr">
        <is>
          <t>kg</t>
        </is>
      </c>
      <c r="D14" s="13" t="n">
        <v>2000</v>
      </c>
      <c r="E14" s="14" t="n">
        <v>3200</v>
      </c>
      <c r="F14" s="15" t="n">
        <v>60</v>
      </c>
      <c r="G14" s="16" t="inlineStr">
        <is>
          <t>⚠ ALERTA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8" customWidth="1" min="4" max="4"/>
    <col width="18" customWidth="1" min="5" max="5"/>
  </cols>
  <sheetData>
    <row r="1" ht="30" customHeight="1">
      <c r="A1" s="19" t="inlineStr">
        <is>
          <t>PLATOS — Costo y Precio de Venta Sugerido (+35%)</t>
        </is>
      </c>
    </row>
    <row r="2" ht="18" customHeight="1">
      <c r="A2" s="2" t="inlineStr">
        <is>
          <t>ID</t>
        </is>
      </c>
      <c r="B2" s="2" t="inlineStr">
        <is>
          <t>Nombre</t>
        </is>
      </c>
      <c r="C2" s="2" t="inlineStr">
        <is>
          <t>Categoría</t>
        </is>
      </c>
      <c r="D2" s="2" t="inlineStr">
        <is>
          <t>Costo Total</t>
        </is>
      </c>
      <c r="E2" s="2" t="inlineStr">
        <is>
          <t>Precio Venta</t>
        </is>
      </c>
    </row>
    <row r="3">
      <c r="A3" s="3" t="n">
        <v>4</v>
      </c>
      <c r="B3" s="4" t="inlineStr">
        <is>
          <t>Arroz con Pollo</t>
        </is>
      </c>
      <c r="C3" s="20" t="inlineStr">
        <is>
          <t>Plato fuerte</t>
        </is>
      </c>
      <c r="D3" s="7" t="n">
        <v>3820</v>
      </c>
      <c r="E3" s="6" t="n">
        <v>5157</v>
      </c>
    </row>
    <row r="4">
      <c r="A4" s="10" t="n">
        <v>1</v>
      </c>
      <c r="B4" s="11" t="inlineStr">
        <is>
          <t>Bandeja Paisa</t>
        </is>
      </c>
      <c r="C4" s="21" t="inlineStr">
        <is>
          <t>Plato fuerte</t>
        </is>
      </c>
      <c r="D4" s="14" t="n">
        <v>9455</v>
      </c>
      <c r="E4" s="13" t="n">
        <v>12764.25</v>
      </c>
    </row>
    <row r="5">
      <c r="A5" s="3" t="n">
        <v>3</v>
      </c>
      <c r="B5" s="4" t="inlineStr">
        <is>
          <t>Lomo al Trapo</t>
        </is>
      </c>
      <c r="C5" s="20" t="inlineStr">
        <is>
          <t>Plato fuerte</t>
        </is>
      </c>
      <c r="D5" s="7" t="n">
        <v>10469</v>
      </c>
      <c r="E5" s="6" t="n">
        <v>14133.15</v>
      </c>
    </row>
    <row r="6">
      <c r="A6" s="10" t="n">
        <v>2</v>
      </c>
      <c r="B6" s="11" t="inlineStr">
        <is>
          <t>Ajiaco Bogotano</t>
        </is>
      </c>
      <c r="C6" s="21" t="inlineStr">
        <is>
          <t>Sopa</t>
        </is>
      </c>
      <c r="D6" s="14" t="n">
        <v>3570</v>
      </c>
      <c r="E6" s="13" t="n">
        <v>4819.5</v>
      </c>
    </row>
    <row r="7">
      <c r="A7" s="22" t="inlineStr">
        <is>
          <t>TOTAL</t>
        </is>
      </c>
      <c r="D7" s="23">
        <f>SUM(D3:D6)</f>
        <v/>
      </c>
      <c r="E7" s="24">
        <f>SUM(E3:E6)</f>
        <v/>
      </c>
    </row>
  </sheetData>
  <mergeCells count="2">
    <mergeCell ref="A7:C7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1" customWidth="1" min="4" max="4"/>
    <col width="16" customWidth="1" min="5" max="5"/>
    <col width="16" customWidth="1" min="6" max="6"/>
  </cols>
  <sheetData>
    <row r="1" ht="30" customHeight="1">
      <c r="A1" s="25" t="inlineStr">
        <is>
          <t>RECETAS — Desglose de Ingredientes por Plato</t>
        </is>
      </c>
    </row>
    <row r="2" ht="18" customHeight="1">
      <c r="A2" s="2" t="inlineStr">
        <is>
          <t>ID</t>
        </is>
      </c>
      <c r="B2" s="2" t="inlineStr">
        <is>
          <t>Plato</t>
        </is>
      </c>
      <c r="C2" s="2" t="inlineStr">
        <is>
          <t>Ingrediente</t>
        </is>
      </c>
      <c r="D2" s="2" t="inlineStr">
        <is>
          <t>Cantidad</t>
        </is>
      </c>
      <c r="E2" s="2" t="inlineStr">
        <is>
          <t>Precio/Unid</t>
        </is>
      </c>
      <c r="F2" s="2" t="inlineStr">
        <is>
          <t>Costo Parcial</t>
        </is>
      </c>
    </row>
    <row r="3">
      <c r="A3" s="3" t="n">
        <v>9</v>
      </c>
      <c r="B3" s="26" t="inlineStr">
        <is>
          <t>Ajiaco Bogotano</t>
        </is>
      </c>
      <c r="C3" s="27" t="inlineStr">
        <is>
          <t>Cebolla</t>
        </is>
      </c>
      <c r="D3" s="28" t="n">
        <v>0.05</v>
      </c>
      <c r="E3" s="29" t="n">
        <v>2100</v>
      </c>
      <c r="F3" s="30" t="n">
        <v>105</v>
      </c>
    </row>
    <row r="4">
      <c r="A4" s="10" t="n">
        <v>8</v>
      </c>
      <c r="B4" s="31" t="inlineStr">
        <is>
          <t>Ajiaco Bogotano</t>
        </is>
      </c>
      <c r="C4" s="32" t="inlineStr">
        <is>
          <t>Cilantro</t>
        </is>
      </c>
      <c r="D4" s="33" t="n">
        <v>0.03</v>
      </c>
      <c r="E4" s="34" t="n">
        <v>4500</v>
      </c>
      <c r="F4" s="35" t="n">
        <v>135</v>
      </c>
    </row>
    <row r="5">
      <c r="A5" s="3" t="n">
        <v>6</v>
      </c>
      <c r="B5" s="26" t="inlineStr">
        <is>
          <t>Ajiaco Bogotano</t>
        </is>
      </c>
      <c r="C5" s="27" t="inlineStr">
        <is>
          <t>Papa</t>
        </is>
      </c>
      <c r="D5" s="28" t="n">
        <v>0.3</v>
      </c>
      <c r="E5" s="29" t="n">
        <v>2600</v>
      </c>
      <c r="F5" s="30" t="n">
        <v>780</v>
      </c>
    </row>
    <row r="6">
      <c r="A6" s="10" t="n">
        <v>7</v>
      </c>
      <c r="B6" s="31" t="inlineStr">
        <is>
          <t>Ajiaco Bogotano</t>
        </is>
      </c>
      <c r="C6" s="32" t="inlineStr">
        <is>
          <t>Pollo</t>
        </is>
      </c>
      <c r="D6" s="33" t="n">
        <v>0.25</v>
      </c>
      <c r="E6" s="34" t="n">
        <v>10200</v>
      </c>
      <c r="F6" s="35" t="n">
        <v>2550</v>
      </c>
    </row>
    <row r="7">
      <c r="A7" s="3" t="n">
        <v>17</v>
      </c>
      <c r="B7" s="26" t="inlineStr">
        <is>
          <t>Arroz con Pollo</t>
        </is>
      </c>
      <c r="C7" s="27" t="inlineStr">
        <is>
          <t>Aceite</t>
        </is>
      </c>
      <c r="D7" s="28" t="n">
        <v>0.03</v>
      </c>
      <c r="E7" s="29" t="n">
        <v>9500</v>
      </c>
      <c r="F7" s="30" t="n">
        <v>285</v>
      </c>
    </row>
    <row r="8">
      <c r="A8" s="10" t="n">
        <v>13</v>
      </c>
      <c r="B8" s="31" t="inlineStr">
        <is>
          <t>Arroz con Pollo</t>
        </is>
      </c>
      <c r="C8" s="32" t="inlineStr">
        <is>
          <t>Arroz</t>
        </is>
      </c>
      <c r="D8" s="33" t="n">
        <v>0.2</v>
      </c>
      <c r="E8" s="34" t="n">
        <v>2800</v>
      </c>
      <c r="F8" s="35" t="n">
        <v>560</v>
      </c>
    </row>
    <row r="9">
      <c r="A9" s="3" t="n">
        <v>16</v>
      </c>
      <c r="B9" s="26" t="inlineStr">
        <is>
          <t>Arroz con Pollo</t>
        </is>
      </c>
      <c r="C9" s="27" t="inlineStr">
        <is>
          <t>Cebolla</t>
        </is>
      </c>
      <c r="D9" s="28" t="n">
        <v>0.05</v>
      </c>
      <c r="E9" s="29" t="n">
        <v>2100</v>
      </c>
      <c r="F9" s="30" t="n">
        <v>105</v>
      </c>
    </row>
    <row r="10">
      <c r="A10" s="10" t="n">
        <v>14</v>
      </c>
      <c r="B10" s="31" t="inlineStr">
        <is>
          <t>Arroz con Pollo</t>
        </is>
      </c>
      <c r="C10" s="32" t="inlineStr">
        <is>
          <t>Pollo</t>
        </is>
      </c>
      <c r="D10" s="33" t="n">
        <v>0.25</v>
      </c>
      <c r="E10" s="34" t="n">
        <v>10200</v>
      </c>
      <c r="F10" s="35" t="n">
        <v>2550</v>
      </c>
    </row>
    <row r="11">
      <c r="A11" s="3" t="n">
        <v>15</v>
      </c>
      <c r="B11" s="26" t="inlineStr">
        <is>
          <t>Arroz con Pollo</t>
        </is>
      </c>
      <c r="C11" s="27" t="inlineStr">
        <is>
          <t>Tomate</t>
        </is>
      </c>
      <c r="D11" s="28" t="n">
        <v>0.1</v>
      </c>
      <c r="E11" s="29" t="n">
        <v>3200</v>
      </c>
      <c r="F11" s="30" t="n">
        <v>320</v>
      </c>
    </row>
    <row r="12">
      <c r="A12" s="10" t="n">
        <v>1</v>
      </c>
      <c r="B12" s="31" t="inlineStr">
        <is>
          <t>Bandeja Paisa</t>
        </is>
      </c>
      <c r="C12" s="32" t="inlineStr">
        <is>
          <t>Arroz</t>
        </is>
      </c>
      <c r="D12" s="33" t="n">
        <v>0.15</v>
      </c>
      <c r="E12" s="34" t="n">
        <v>2800</v>
      </c>
      <c r="F12" s="35" t="n">
        <v>420</v>
      </c>
    </row>
    <row r="13">
      <c r="A13" s="3" t="n">
        <v>2</v>
      </c>
      <c r="B13" s="26" t="inlineStr">
        <is>
          <t>Bandeja Paisa</t>
        </is>
      </c>
      <c r="C13" s="27" t="inlineStr">
        <is>
          <t>Carne de res</t>
        </is>
      </c>
      <c r="D13" s="28" t="n">
        <v>0.2</v>
      </c>
      <c r="E13" s="29" t="n">
        <v>28500</v>
      </c>
      <c r="F13" s="30" t="n">
        <v>5700</v>
      </c>
    </row>
    <row r="14">
      <c r="A14" s="10" t="n">
        <v>5</v>
      </c>
      <c r="B14" s="31" t="inlineStr">
        <is>
          <t>Bandeja Paisa</t>
        </is>
      </c>
      <c r="C14" s="32" t="inlineStr">
        <is>
          <t>Cebolla</t>
        </is>
      </c>
      <c r="D14" s="33" t="n">
        <v>0.05</v>
      </c>
      <c r="E14" s="34" t="n">
        <v>2100</v>
      </c>
      <c r="F14" s="35" t="n">
        <v>105</v>
      </c>
    </row>
    <row r="15">
      <c r="A15" s="3" t="n">
        <v>3</v>
      </c>
      <c r="B15" s="26" t="inlineStr">
        <is>
          <t>Bandeja Paisa</t>
        </is>
      </c>
      <c r="C15" s="27" t="inlineStr">
        <is>
          <t>Lomo de cerdo</t>
        </is>
      </c>
      <c r="D15" s="28" t="n">
        <v>0.15</v>
      </c>
      <c r="E15" s="29" t="n">
        <v>19800</v>
      </c>
      <c r="F15" s="30" t="n">
        <v>2970</v>
      </c>
    </row>
    <row r="16">
      <c r="A16" s="10" t="n">
        <v>4</v>
      </c>
      <c r="B16" s="31" t="inlineStr">
        <is>
          <t>Bandeja Paisa</t>
        </is>
      </c>
      <c r="C16" s="32" t="inlineStr">
        <is>
          <t>Papa</t>
        </is>
      </c>
      <c r="D16" s="33" t="n">
        <v>0.1</v>
      </c>
      <c r="E16" s="34" t="n">
        <v>2600</v>
      </c>
      <c r="F16" s="35" t="n">
        <v>260</v>
      </c>
    </row>
    <row r="17">
      <c r="A17" s="3" t="n">
        <v>12</v>
      </c>
      <c r="B17" s="26" t="inlineStr">
        <is>
          <t>Lomo al Trapo</t>
        </is>
      </c>
      <c r="C17" s="27" t="inlineStr">
        <is>
          <t>Aceite</t>
        </is>
      </c>
      <c r="D17" s="28" t="n">
        <v>0.05</v>
      </c>
      <c r="E17" s="29" t="n">
        <v>9500</v>
      </c>
      <c r="F17" s="30" t="n">
        <v>475</v>
      </c>
    </row>
    <row r="18">
      <c r="A18" s="10" t="n">
        <v>10</v>
      </c>
      <c r="B18" s="31" t="inlineStr">
        <is>
          <t>Lomo al Trapo</t>
        </is>
      </c>
      <c r="C18" s="32" t="inlineStr">
        <is>
          <t>Carne de res</t>
        </is>
      </c>
      <c r="D18" s="33" t="n">
        <v>0.35</v>
      </c>
      <c r="E18" s="34" t="n">
        <v>28500</v>
      </c>
      <c r="F18" s="35" t="n">
        <v>9975</v>
      </c>
    </row>
    <row r="19">
      <c r="A19" s="3" t="n">
        <v>11</v>
      </c>
      <c r="B19" s="26" t="inlineStr">
        <is>
          <t>Lomo al Trapo</t>
        </is>
      </c>
      <c r="C19" s="27" t="inlineStr">
        <is>
          <t>Sal</t>
        </is>
      </c>
      <c r="D19" s="28" t="n">
        <v>0.02</v>
      </c>
      <c r="E19" s="29" t="n">
        <v>950</v>
      </c>
      <c r="F19" s="30" t="n">
        <v>19</v>
      </c>
    </row>
    <row r="21">
      <c r="A21" t="inlineStr">
        <is>
          <t>Categoría</t>
        </is>
      </c>
      <c r="B21" t="inlineStr">
        <is>
          <t>Costo Total</t>
        </is>
      </c>
    </row>
    <row r="22">
      <c r="A22" t="inlineStr">
        <is>
          <t>Plato fuerte</t>
        </is>
      </c>
      <c r="B22" t="n">
        <v>23744</v>
      </c>
    </row>
    <row r="23">
      <c r="A23" t="inlineStr">
        <is>
          <t>Sopa</t>
        </is>
      </c>
      <c r="B23" t="n">
        <v>3570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0" customHeight="1">
      <c r="A1" s="36" t="inlineStr">
        <is>
          <t>ALERTAS DE INFLACIÓN — Ingredientes que superan el 20%</t>
        </is>
      </c>
    </row>
    <row r="2" ht="18" customHeight="1">
      <c r="A2" s="2" t="inlineStr">
        <is>
          <t>ID</t>
        </is>
      </c>
      <c r="B2" s="2" t="inlineStr">
        <is>
          <t>Ingrediente</t>
        </is>
      </c>
      <c r="C2" s="2" t="inlineStr">
        <is>
          <t>Inflación %</t>
        </is>
      </c>
      <c r="D2" s="2" t="inlineStr">
        <is>
          <t>P. Histórico</t>
        </is>
      </c>
      <c r="E2" s="2" t="inlineStr">
        <is>
          <t>P. Mercado</t>
        </is>
      </c>
      <c r="F2" s="2" t="inlineStr">
        <is>
          <t>Diferencia</t>
        </is>
      </c>
      <c r="G2" s="2" t="inlineStr">
        <is>
          <t>Fecha</t>
        </is>
      </c>
    </row>
    <row r="3">
      <c r="A3" s="3" t="n">
        <v>4</v>
      </c>
      <c r="B3" s="4" t="inlineStr">
        <is>
          <t>Tomate</t>
        </is>
      </c>
      <c r="C3" s="37" t="n">
        <v>60</v>
      </c>
      <c r="D3" s="6" t="n">
        <v>2000</v>
      </c>
      <c r="E3" s="7" t="n">
        <v>3200</v>
      </c>
      <c r="F3" s="38" t="n">
        <v>1200</v>
      </c>
      <c r="G3" s="39" t="inlineStr">
        <is>
          <t>2026-05-05 22:59:18</t>
        </is>
      </c>
    </row>
    <row r="4">
      <c r="A4" s="10" t="n">
        <v>6</v>
      </c>
      <c r="B4" s="11" t="inlineStr">
        <is>
          <t>Cilantro</t>
        </is>
      </c>
      <c r="C4" s="40" t="n">
        <v>50</v>
      </c>
      <c r="D4" s="13" t="n">
        <v>3000</v>
      </c>
      <c r="E4" s="14" t="n">
        <v>4500</v>
      </c>
      <c r="F4" s="41" t="n">
        <v>1500</v>
      </c>
      <c r="G4" s="42" t="inlineStr">
        <is>
          <t>2026-05-05 22:59:18</t>
        </is>
      </c>
    </row>
    <row r="5">
      <c r="A5" s="3" t="n">
        <v>2</v>
      </c>
      <c r="B5" s="4" t="inlineStr">
        <is>
          <t>Papa</t>
        </is>
      </c>
      <c r="C5" s="37" t="n">
        <v>44.44</v>
      </c>
      <c r="D5" s="6" t="n">
        <v>1800</v>
      </c>
      <c r="E5" s="7" t="n">
        <v>2600</v>
      </c>
      <c r="F5" s="38" t="n">
        <v>800</v>
      </c>
      <c r="G5" s="39" t="inlineStr">
        <is>
          <t>2026-05-05 22:59:18</t>
        </is>
      </c>
    </row>
    <row r="6">
      <c r="A6" s="10" t="n">
        <v>3</v>
      </c>
      <c r="B6" s="11" t="inlineStr">
        <is>
          <t>Cebolla</t>
        </is>
      </c>
      <c r="C6" s="40" t="n">
        <v>40</v>
      </c>
      <c r="D6" s="13" t="n">
        <v>1500</v>
      </c>
      <c r="E6" s="14" t="n">
        <v>2100</v>
      </c>
      <c r="F6" s="41" t="n">
        <v>600</v>
      </c>
      <c r="G6" s="42" t="inlineStr">
        <is>
          <t>2026-05-05 22:59:18</t>
        </is>
      </c>
    </row>
    <row r="7">
      <c r="A7" s="3" t="n">
        <v>5</v>
      </c>
      <c r="B7" s="4" t="inlineStr">
        <is>
          <t>Aceite</t>
        </is>
      </c>
      <c r="C7" s="37" t="n">
        <v>35.71</v>
      </c>
      <c r="D7" s="6" t="n">
        <v>7000</v>
      </c>
      <c r="E7" s="7" t="n">
        <v>9500</v>
      </c>
      <c r="F7" s="38" t="n">
        <v>2500</v>
      </c>
      <c r="G7" s="39" t="inlineStr">
        <is>
          <t>2026-05-05 22:59:18</t>
        </is>
      </c>
    </row>
    <row r="8">
      <c r="A8" s="10" t="n">
        <v>10</v>
      </c>
      <c r="B8" s="11" t="inlineStr">
        <is>
          <t>Queso</t>
        </is>
      </c>
      <c r="C8" s="40" t="n">
        <v>33.33</v>
      </c>
      <c r="D8" s="13" t="n">
        <v>18000</v>
      </c>
      <c r="E8" s="14" t="n">
        <v>24000</v>
      </c>
      <c r="F8" s="41" t="n">
        <v>6000</v>
      </c>
      <c r="G8" s="42" t="inlineStr">
        <is>
          <t>2026-05-05 22:59:18</t>
        </is>
      </c>
    </row>
    <row r="9">
      <c r="A9" s="3" t="n">
        <v>8</v>
      </c>
      <c r="B9" s="4" t="inlineStr">
        <is>
          <t>Lomo de cerdo</t>
        </is>
      </c>
      <c r="C9" s="37" t="n">
        <v>32</v>
      </c>
      <c r="D9" s="6" t="n">
        <v>15000</v>
      </c>
      <c r="E9" s="7" t="n">
        <v>19800</v>
      </c>
      <c r="F9" s="38" t="n">
        <v>4800</v>
      </c>
      <c r="G9" s="39" t="inlineStr">
        <is>
          <t>2026-05-05 22:59:18</t>
        </is>
      </c>
    </row>
    <row r="10">
      <c r="A10" s="10" t="n">
        <v>7</v>
      </c>
      <c r="B10" s="11" t="inlineStr">
        <is>
          <t>Carne de res</t>
        </is>
      </c>
      <c r="C10" s="40" t="n">
        <v>29.55</v>
      </c>
      <c r="D10" s="13" t="n">
        <v>22000</v>
      </c>
      <c r="E10" s="14" t="n">
        <v>28500</v>
      </c>
      <c r="F10" s="41" t="n">
        <v>6500</v>
      </c>
      <c r="G10" s="42" t="inlineStr">
        <is>
          <t>2026-05-05 22:59:18</t>
        </is>
      </c>
    </row>
    <row r="11">
      <c r="A11" s="3" t="n">
        <v>1</v>
      </c>
      <c r="B11" s="4" t="inlineStr">
        <is>
          <t>Arroz</t>
        </is>
      </c>
      <c r="C11" s="37" t="n">
        <v>27.27</v>
      </c>
      <c r="D11" s="6" t="n">
        <v>2200</v>
      </c>
      <c r="E11" s="7" t="n">
        <v>2800</v>
      </c>
      <c r="F11" s="38" t="n">
        <v>600</v>
      </c>
      <c r="G11" s="39" t="inlineStr">
        <is>
          <t>2026-05-05 22:59:18</t>
        </is>
      </c>
    </row>
    <row r="12">
      <c r="A12" s="10" t="n">
        <v>9</v>
      </c>
      <c r="B12" s="11" t="inlineStr">
        <is>
          <t>Leche</t>
        </is>
      </c>
      <c r="C12" s="40" t="n">
        <v>24</v>
      </c>
      <c r="D12" s="13" t="n">
        <v>2500</v>
      </c>
      <c r="E12" s="14" t="n">
        <v>3100</v>
      </c>
      <c r="F12" s="41" t="n">
        <v>600</v>
      </c>
      <c r="G12" s="42" t="inlineStr">
        <is>
          <t>2026-05-05 22:59:18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5" customWidth="1" min="3" max="3"/>
  </cols>
  <sheetData>
    <row r="1" ht="30" customHeight="1">
      <c r="A1" s="43" t="inlineStr">
        <is>
          <t>CÓMO CONECTAR ESTE EXCEL A POWER BI</t>
        </is>
      </c>
    </row>
    <row r="2" ht="18" customHeight="1">
      <c r="A2" s="2" t="inlineStr">
        <is>
          <t>Paso</t>
        </is>
      </c>
      <c r="B2" s="2" t="inlineStr">
        <is>
          <t>Acción</t>
        </is>
      </c>
      <c r="C2" s="2" t="inlineStr">
        <is>
          <t>Detalle</t>
        </is>
      </c>
    </row>
    <row r="3" ht="20" customHeight="1">
      <c r="A3" s="44" t="inlineStr">
        <is>
          <t>1</t>
        </is>
      </c>
      <c r="B3" s="45" t="inlineStr">
        <is>
          <t>Abrir Power BI Desktop</t>
        </is>
      </c>
      <c r="C3" s="46" t="inlineStr">
        <is>
          <t>microsoft.com/power-bi</t>
        </is>
      </c>
    </row>
    <row r="4" ht="20" customHeight="1">
      <c r="A4" s="47" t="inlineStr">
        <is>
          <t>2</t>
        </is>
      </c>
      <c r="B4" s="48" t="inlineStr">
        <is>
          <t>Inicio → Obtener datos → Excel</t>
        </is>
      </c>
      <c r="C4" s="49" t="inlineStr">
        <is>
          <t>Seleccionar ChefCostos_PowerBI.xlsx</t>
        </is>
      </c>
    </row>
    <row r="5" ht="20" customHeight="1">
      <c r="A5" s="44" t="inlineStr">
        <is>
          <t>3</t>
        </is>
      </c>
      <c r="B5" s="45" t="inlineStr">
        <is>
          <t>Marcar las 4 hojas</t>
        </is>
      </c>
      <c r="C5" s="46" t="inlineStr">
        <is>
          <t>Ingredientes · Platos_Costos · Recetas · Alertas_Inflacion</t>
        </is>
      </c>
    </row>
    <row r="6" ht="20" customHeight="1">
      <c r="A6" s="47" t="inlineStr">
        <is>
          <t>4</t>
        </is>
      </c>
      <c r="B6" s="48" t="inlineStr">
        <is>
          <t>Clic en Cargar</t>
        </is>
      </c>
      <c r="C6" s="49" t="inlineStr">
        <is>
          <t>Datos disponibles en panel derecho</t>
        </is>
      </c>
    </row>
    <row r="7" ht="20" customHeight="1">
      <c r="A7" s="44" t="inlineStr">
        <is>
          <t>5</t>
        </is>
      </c>
      <c r="B7" s="45" t="inlineStr">
        <is>
          <t>Gráfico de barras — inflación</t>
        </is>
      </c>
      <c r="C7" s="46" t="inlineStr">
        <is>
          <t>Campo: Inflación% vs Nombre (hoja Ingredientes)</t>
        </is>
      </c>
    </row>
    <row r="8" ht="20" customHeight="1">
      <c r="A8" s="47" t="inlineStr">
        <is>
          <t>6</t>
        </is>
      </c>
      <c r="B8" s="48" t="inlineStr">
        <is>
          <t>Gráfico barras agrupadas — costos</t>
        </is>
      </c>
      <c r="C8" s="49" t="inlineStr">
        <is>
          <t>Costo Total y Precio Venta vs Nombre (hoja Platos_Costos)</t>
        </is>
      </c>
    </row>
    <row r="9" ht="20" customHeight="1">
      <c r="A9" s="44" t="inlineStr">
        <is>
          <t>7</t>
        </is>
      </c>
      <c r="B9" s="45" t="inlineStr">
        <is>
          <t>Gráfico circular — categorías</t>
        </is>
      </c>
      <c r="C9" s="46" t="inlineStr">
        <is>
          <t>Costo Total por Categoría (hoja Recetas)</t>
        </is>
      </c>
    </row>
    <row r="10" ht="20" customHeight="1">
      <c r="A10" s="47" t="inlineStr">
        <is>
          <t>8</t>
        </is>
      </c>
      <c r="B10" s="48" t="inlineStr">
        <is>
          <t>Gráfico barras — alertas</t>
        </is>
      </c>
      <c r="C10" s="49" t="inlineStr">
        <is>
          <t>Precio Histórico vs Mercado (hoja Alertas_Inflacion)</t>
        </is>
      </c>
    </row>
    <row r="11" ht="20" customHeight="1">
      <c r="A11" s="44" t="inlineStr">
        <is>
          <t>9</t>
        </is>
      </c>
      <c r="B11" s="45" t="inlineStr">
        <is>
          <t>Segmentador 1</t>
        </is>
      </c>
      <c r="C11" s="46" t="inlineStr">
        <is>
          <t>Campo: Categoría (hoja Platos_Costos)</t>
        </is>
      </c>
    </row>
    <row r="12" ht="20" customHeight="1">
      <c r="A12" s="47" t="inlineStr">
        <is>
          <t>10</t>
        </is>
      </c>
      <c r="B12" s="48" t="inlineStr">
        <is>
          <t>Segmentador 2</t>
        </is>
      </c>
      <c r="C12" s="49" t="inlineStr">
        <is>
          <t>Campo: Alerta (hoja Ingredientes) — Normal vs ⚠ ALERTA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2026-05-05T23:00:24Z</dcterms:created>
  <dcterms:modified xmlns:dcterms="http://purl.org/dc/terms/" xmlns:xsi="http://www.w3.org/2001/XMLSchema-instance" xsi:type="dcterms:W3CDTF">2026-05-05T23:00:24Z</dcterms:modified>
</cp:coreProperties>
</file>